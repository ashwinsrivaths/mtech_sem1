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<sst xmlns="http://schemas.openxmlformats.org/spreadsheetml/2006/main" count="108" uniqueCount="50">
  <si>
    <t>Age</t>
  </si>
  <si>
    <t>C1 - 30</t>
  </si>
  <si>
    <t>C2 - 59</t>
  </si>
  <si>
    <t>C3 - 24</t>
  </si>
  <si>
    <t>&lt;- Initial Centroids</t>
  </si>
  <si>
    <t>Calculate Distance of each data point from the centroids, here we calculated ecclidean distance</t>
  </si>
  <si>
    <t>C1</t>
  </si>
  <si>
    <t>28,30,31,34</t>
  </si>
  <si>
    <t>Taking average of data points to calculate the new cluster centroids</t>
  </si>
  <si>
    <t>C2</t>
  </si>
  <si>
    <t>59,60,56</t>
  </si>
  <si>
    <t>C3</t>
  </si>
  <si>
    <t>24,26,15,16,14</t>
  </si>
  <si>
    <t>2nd iteration</t>
  </si>
  <si>
    <t>C1 - 30.75</t>
  </si>
  <si>
    <t>C2 - 58.33</t>
  </si>
  <si>
    <t>C3 - 19</t>
  </si>
  <si>
    <t>28,26,30,31,34</t>
  </si>
  <si>
    <t>15,16,24,14</t>
  </si>
  <si>
    <t>3rd Iteration</t>
  </si>
  <si>
    <t>C1 - 29.8</t>
  </si>
  <si>
    <t>C3 - 17.25</t>
  </si>
  <si>
    <t>28,26,30,31,24,34</t>
  </si>
  <si>
    <t>15,16,14</t>
  </si>
  <si>
    <t>4th Iteration</t>
  </si>
  <si>
    <t>C1 - 28.83</t>
  </si>
  <si>
    <t>C3 - 15</t>
  </si>
  <si>
    <t>Centroids are not changing so we will terminate the iteration</t>
  </si>
  <si>
    <t>Calculation of WCSS(inertia) /Sum of intra cluster distance</t>
  </si>
  <si>
    <t>WCSS = Intra cluster distance of c1 + Intra Cluster distance of c2 + intra cluster distance of c3</t>
  </si>
  <si>
    <t>WCSS of C1</t>
  </si>
  <si>
    <t>Centroid</t>
  </si>
  <si>
    <t>Data Points</t>
  </si>
  <si>
    <t>WCSS C1</t>
  </si>
  <si>
    <t>WCSS C2</t>
  </si>
  <si>
    <t>WCSS C3</t>
  </si>
  <si>
    <t>WCSS</t>
  </si>
  <si>
    <t>Silhouette Coeff</t>
  </si>
  <si>
    <t>b-a/max(a,b)</t>
  </si>
  <si>
    <t>between - Within / max(between,Within)</t>
  </si>
  <si>
    <t>Clusters</t>
  </si>
  <si>
    <t>a-within</t>
  </si>
  <si>
    <t>b-between</t>
  </si>
  <si>
    <t>sc</t>
  </si>
  <si>
    <t>colsest is c3 centroid</t>
  </si>
  <si>
    <t>between is calculated from the closest cluster centroid</t>
  </si>
  <si>
    <t>Silhoutte Score for model</t>
  </si>
  <si>
    <t>b-a/max(b,a)</t>
  </si>
  <si>
    <t>between</t>
  </si>
  <si>
    <t>within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</si>
</sst>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3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horizontal="right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horizontal="right" vertical="bottom"/>
    </xf>
    <xf borderId="1" fillId="5" fontId="2" numFmtId="0" xfId="0" applyAlignment="1" applyBorder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horizontal="right" vertical="bottom"/>
    </xf>
    <xf borderId="0" fillId="8" fontId="2" numFmtId="0" xfId="0" applyAlignment="1" applyFill="1" applyFont="1">
      <alignment vertical="bottom"/>
    </xf>
    <xf borderId="0" fillId="9" fontId="2" numFmtId="0" xfId="0" applyAlignment="1" applyFill="1" applyFont="1">
      <alignment vertical="bottom"/>
    </xf>
    <xf borderId="0" fillId="9" fontId="2" numFmtId="0" xfId="0" applyAlignment="1" applyFont="1">
      <alignment horizontal="right" vertical="bottom"/>
    </xf>
    <xf borderId="0" fillId="7" fontId="2" numFmtId="0" xfId="0" applyAlignment="1" applyFont="1">
      <alignment vertical="bottom"/>
    </xf>
    <xf borderId="0" fillId="7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28.0</v>
      </c>
      <c r="B2" s="7">
        <f>sqrt(( 30 - A2)^2)</f>
        <v>2</v>
      </c>
      <c r="C2" s="8">
        <f t="shared" ref="C2:C13" si="1">sqrt((59 - $A2)^2)</f>
        <v>31</v>
      </c>
      <c r="D2" s="8">
        <f t="shared" ref="D2:D13" si="2">sqrt((24 - A2)^2)</f>
        <v>4</v>
      </c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26.0</v>
      </c>
      <c r="B3" s="8">
        <f t="shared" ref="B3:B13" si="3">sqrt((30 - A3)^2)</f>
        <v>4</v>
      </c>
      <c r="C3" s="8">
        <f t="shared" si="1"/>
        <v>33</v>
      </c>
      <c r="D3" s="9">
        <f t="shared" si="2"/>
        <v>2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30.0</v>
      </c>
      <c r="B4" s="7">
        <f t="shared" si="3"/>
        <v>0</v>
      </c>
      <c r="C4" s="8">
        <f t="shared" si="1"/>
        <v>29</v>
      </c>
      <c r="D4" s="8">
        <f t="shared" si="2"/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15.0</v>
      </c>
      <c r="B5" s="8">
        <f t="shared" si="3"/>
        <v>15</v>
      </c>
      <c r="C5" s="8">
        <f t="shared" si="1"/>
        <v>44</v>
      </c>
      <c r="D5" s="9">
        <f t="shared" si="2"/>
        <v>9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31.0</v>
      </c>
      <c r="B6" s="7">
        <f t="shared" si="3"/>
        <v>1</v>
      </c>
      <c r="C6" s="8">
        <f t="shared" si="1"/>
        <v>28</v>
      </c>
      <c r="D6" s="8">
        <f t="shared" si="2"/>
        <v>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59.0</v>
      </c>
      <c r="B7" s="8">
        <f t="shared" si="3"/>
        <v>29</v>
      </c>
      <c r="C7" s="10">
        <f t="shared" si="1"/>
        <v>0</v>
      </c>
      <c r="D7" s="8">
        <f t="shared" si="2"/>
        <v>35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60.0</v>
      </c>
      <c r="B8" s="8">
        <f t="shared" si="3"/>
        <v>30</v>
      </c>
      <c r="C8" s="10">
        <f t="shared" si="1"/>
        <v>1</v>
      </c>
      <c r="D8" s="8">
        <f t="shared" si="2"/>
        <v>36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16.0</v>
      </c>
      <c r="B9" s="8">
        <f t="shared" si="3"/>
        <v>14</v>
      </c>
      <c r="C9" s="8">
        <f t="shared" si="1"/>
        <v>43</v>
      </c>
      <c r="D9" s="9">
        <f t="shared" si="2"/>
        <v>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24.0</v>
      </c>
      <c r="B10" s="8">
        <f t="shared" si="3"/>
        <v>6</v>
      </c>
      <c r="C10" s="8">
        <f t="shared" si="1"/>
        <v>35</v>
      </c>
      <c r="D10" s="9">
        <f t="shared" si="2"/>
        <v>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56.0</v>
      </c>
      <c r="B11" s="8">
        <f t="shared" si="3"/>
        <v>26</v>
      </c>
      <c r="C11" s="10">
        <f t="shared" si="1"/>
        <v>3</v>
      </c>
      <c r="D11" s="8">
        <f t="shared" si="2"/>
        <v>32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14.0</v>
      </c>
      <c r="B12" s="8">
        <f t="shared" si="3"/>
        <v>16</v>
      </c>
      <c r="C12" s="8">
        <f t="shared" si="1"/>
        <v>45</v>
      </c>
      <c r="D12" s="9">
        <f t="shared" si="2"/>
        <v>10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34.0</v>
      </c>
      <c r="B13" s="7">
        <f t="shared" si="3"/>
        <v>4</v>
      </c>
      <c r="C13" s="8">
        <f t="shared" si="1"/>
        <v>25</v>
      </c>
      <c r="D13" s="8">
        <f t="shared" si="2"/>
        <v>10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11" t="s">
        <v>6</v>
      </c>
      <c r="C15" s="12" t="s">
        <v>7</v>
      </c>
      <c r="D15" s="13">
        <f>(28+30+31+34)/4</f>
        <v>30.75</v>
      </c>
      <c r="E15" s="5" t="s">
        <v>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14" t="s">
        <v>9</v>
      </c>
      <c r="C16" s="15" t="s">
        <v>10</v>
      </c>
      <c r="D16" s="16">
        <f>(59+60+56)/3</f>
        <v>58.33333333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7" t="s">
        <v>11</v>
      </c>
      <c r="C17" s="18" t="s">
        <v>12</v>
      </c>
      <c r="D17" s="19">
        <f>(24+26+15+16+14)/5</f>
        <v>19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13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" t="s">
        <v>0</v>
      </c>
      <c r="B20" s="2" t="s">
        <v>14</v>
      </c>
      <c r="C20" s="3" t="s">
        <v>15</v>
      </c>
      <c r="D20" s="4" t="s">
        <v>16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28.0</v>
      </c>
      <c r="B21" s="7">
        <f t="shared" ref="B21:B32" si="4">sqrt(( 30.75 - A21)^2)</f>
        <v>2.75</v>
      </c>
      <c r="C21" s="8">
        <f t="shared" ref="C21:C32" si="5">sqrt((58.33 - $A21)^2)</f>
        <v>30.33</v>
      </c>
      <c r="D21" s="8">
        <f t="shared" ref="D21:D32" si="6">sqrt((19 - A21)^2)</f>
        <v>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26.0</v>
      </c>
      <c r="B22" s="7">
        <f t="shared" si="4"/>
        <v>4.75</v>
      </c>
      <c r="C22" s="8">
        <f t="shared" si="5"/>
        <v>32.33</v>
      </c>
      <c r="D22" s="8">
        <f t="shared" si="6"/>
        <v>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30.0</v>
      </c>
      <c r="B23" s="7">
        <f t="shared" si="4"/>
        <v>0.75</v>
      </c>
      <c r="C23" s="8">
        <f t="shared" si="5"/>
        <v>28.33</v>
      </c>
      <c r="D23" s="8">
        <f t="shared" si="6"/>
        <v>11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15.0</v>
      </c>
      <c r="B24" s="8">
        <f t="shared" si="4"/>
        <v>15.75</v>
      </c>
      <c r="C24" s="8">
        <f t="shared" si="5"/>
        <v>43.33</v>
      </c>
      <c r="D24" s="9">
        <f t="shared" si="6"/>
        <v>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31.0</v>
      </c>
      <c r="B25" s="7">
        <f t="shared" si="4"/>
        <v>0.25</v>
      </c>
      <c r="C25" s="8">
        <f t="shared" si="5"/>
        <v>27.33</v>
      </c>
      <c r="D25" s="8">
        <f t="shared" si="6"/>
        <v>12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59.0</v>
      </c>
      <c r="B26" s="8">
        <f t="shared" si="4"/>
        <v>28.25</v>
      </c>
      <c r="C26" s="10">
        <f t="shared" si="5"/>
        <v>0.67</v>
      </c>
      <c r="D26" s="8">
        <f t="shared" si="6"/>
        <v>40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60.0</v>
      </c>
      <c r="B27" s="8">
        <f t="shared" si="4"/>
        <v>29.25</v>
      </c>
      <c r="C27" s="10">
        <f t="shared" si="5"/>
        <v>1.67</v>
      </c>
      <c r="D27" s="8">
        <f t="shared" si="6"/>
        <v>41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16.0</v>
      </c>
      <c r="B28" s="8">
        <f t="shared" si="4"/>
        <v>14.75</v>
      </c>
      <c r="C28" s="8">
        <f t="shared" si="5"/>
        <v>42.33</v>
      </c>
      <c r="D28" s="9">
        <f t="shared" si="6"/>
        <v>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24.0</v>
      </c>
      <c r="B29" s="8">
        <f t="shared" si="4"/>
        <v>6.75</v>
      </c>
      <c r="C29" s="8">
        <f t="shared" si="5"/>
        <v>34.33</v>
      </c>
      <c r="D29" s="9">
        <f t="shared" si="6"/>
        <v>5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56.0</v>
      </c>
      <c r="B30" s="8">
        <f t="shared" si="4"/>
        <v>25.25</v>
      </c>
      <c r="C30" s="10">
        <f t="shared" si="5"/>
        <v>2.33</v>
      </c>
      <c r="D30" s="8">
        <f t="shared" si="6"/>
        <v>37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14.0</v>
      </c>
      <c r="B31" s="8">
        <f t="shared" si="4"/>
        <v>16.75</v>
      </c>
      <c r="C31" s="8">
        <f t="shared" si="5"/>
        <v>44.33</v>
      </c>
      <c r="D31" s="9">
        <f t="shared" si="6"/>
        <v>5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34.0</v>
      </c>
      <c r="B32" s="7">
        <f t="shared" si="4"/>
        <v>3.25</v>
      </c>
      <c r="C32" s="8">
        <f t="shared" si="5"/>
        <v>24.33</v>
      </c>
      <c r="D32" s="8">
        <f t="shared" si="6"/>
        <v>15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12" t="s">
        <v>6</v>
      </c>
      <c r="C34" s="12" t="s">
        <v>17</v>
      </c>
      <c r="D34" s="13">
        <f>(28+26+30+31+34)/5</f>
        <v>29.8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15" t="s">
        <v>9</v>
      </c>
      <c r="C35" s="15" t="s">
        <v>10</v>
      </c>
      <c r="D35" s="16">
        <f>(59+60+56)/3</f>
        <v>58.33333333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18" t="s">
        <v>11</v>
      </c>
      <c r="C36" s="18" t="s">
        <v>18</v>
      </c>
      <c r="D36" s="19">
        <f>(15+16+24+14)/4</f>
        <v>17.25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19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" t="s">
        <v>0</v>
      </c>
      <c r="B39" s="2" t="s">
        <v>20</v>
      </c>
      <c r="C39" s="3" t="s">
        <v>15</v>
      </c>
      <c r="D39" s="4" t="s">
        <v>21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28.0</v>
      </c>
      <c r="B40" s="7">
        <f t="shared" ref="B40:B50" si="7">sqrt(( 29.8 - A40)^2)</f>
        <v>1.8</v>
      </c>
      <c r="C40" s="8">
        <f t="shared" ref="C40:C51" si="8">sqrt((58.33 - $A40)^2)</f>
        <v>30.33</v>
      </c>
      <c r="D40" s="8">
        <f t="shared" ref="D40:D50" si="9">sqrt((17.25 - A40)^2)</f>
        <v>10.75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26.0</v>
      </c>
      <c r="B41" s="7">
        <f t="shared" si="7"/>
        <v>3.8</v>
      </c>
      <c r="C41" s="8">
        <f t="shared" si="8"/>
        <v>32.33</v>
      </c>
      <c r="D41" s="8">
        <f t="shared" si="9"/>
        <v>8.75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30.0</v>
      </c>
      <c r="B42" s="7">
        <f t="shared" si="7"/>
        <v>0.2</v>
      </c>
      <c r="C42" s="8">
        <f t="shared" si="8"/>
        <v>28.33</v>
      </c>
      <c r="D42" s="8">
        <f t="shared" si="9"/>
        <v>12.75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15.0</v>
      </c>
      <c r="B43" s="20">
        <f t="shared" si="7"/>
        <v>14.8</v>
      </c>
      <c r="C43" s="8">
        <f t="shared" si="8"/>
        <v>43.33</v>
      </c>
      <c r="D43" s="9">
        <f t="shared" si="9"/>
        <v>2.25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31.0</v>
      </c>
      <c r="B44" s="7">
        <f t="shared" si="7"/>
        <v>1.2</v>
      </c>
      <c r="C44" s="8">
        <f t="shared" si="8"/>
        <v>27.33</v>
      </c>
      <c r="D44" s="8">
        <f t="shared" si="9"/>
        <v>13.75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59.0</v>
      </c>
      <c r="B45" s="20">
        <f t="shared" si="7"/>
        <v>29.2</v>
      </c>
      <c r="C45" s="10">
        <f t="shared" si="8"/>
        <v>0.67</v>
      </c>
      <c r="D45" s="8">
        <f t="shared" si="9"/>
        <v>41.75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60.0</v>
      </c>
      <c r="B46" s="20">
        <f t="shared" si="7"/>
        <v>30.2</v>
      </c>
      <c r="C46" s="10">
        <f t="shared" si="8"/>
        <v>1.67</v>
      </c>
      <c r="D46" s="8">
        <f t="shared" si="9"/>
        <v>42.75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16.0</v>
      </c>
      <c r="B47" s="20">
        <f t="shared" si="7"/>
        <v>13.8</v>
      </c>
      <c r="C47" s="8">
        <f t="shared" si="8"/>
        <v>42.33</v>
      </c>
      <c r="D47" s="9">
        <f t="shared" si="9"/>
        <v>1.25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24.0</v>
      </c>
      <c r="B48" s="7">
        <f t="shared" si="7"/>
        <v>5.8</v>
      </c>
      <c r="C48" s="8">
        <f t="shared" si="8"/>
        <v>34.33</v>
      </c>
      <c r="D48" s="8">
        <f t="shared" si="9"/>
        <v>6.75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56.0</v>
      </c>
      <c r="B49" s="20">
        <f t="shared" si="7"/>
        <v>26.2</v>
      </c>
      <c r="C49" s="10">
        <f t="shared" si="8"/>
        <v>2.33</v>
      </c>
      <c r="D49" s="8">
        <f t="shared" si="9"/>
        <v>38.75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14.0</v>
      </c>
      <c r="B50" s="20">
        <f t="shared" si="7"/>
        <v>15.8</v>
      </c>
      <c r="C50" s="8">
        <f t="shared" si="8"/>
        <v>44.33</v>
      </c>
      <c r="D50" s="9">
        <f t="shared" si="9"/>
        <v>3.25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34.0</v>
      </c>
      <c r="B51" s="7">
        <f>sqrt(( 30.75 - A51)^2)</f>
        <v>3.25</v>
      </c>
      <c r="C51" s="8">
        <f t="shared" si="8"/>
        <v>24.33</v>
      </c>
      <c r="D51" s="8">
        <f>sqrt((19 - A51)^2)</f>
        <v>15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12" t="s">
        <v>6</v>
      </c>
      <c r="C53" s="12" t="s">
        <v>22</v>
      </c>
      <c r="D53" s="13">
        <f>(28+26+30+31+24+34)/6</f>
        <v>28.83333333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15" t="s">
        <v>9</v>
      </c>
      <c r="C54" s="15" t="s">
        <v>10</v>
      </c>
      <c r="D54" s="16">
        <f>(59+60+56)/3</f>
        <v>58.33333333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18" t="s">
        <v>11</v>
      </c>
      <c r="C55" s="18" t="s">
        <v>23</v>
      </c>
      <c r="D55" s="19">
        <f>(15+16+14)/3</f>
        <v>15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">
        <v>24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" t="s">
        <v>0</v>
      </c>
      <c r="B58" s="2" t="s">
        <v>25</v>
      </c>
      <c r="C58" s="3" t="s">
        <v>15</v>
      </c>
      <c r="D58" s="4" t="s">
        <v>26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28.0</v>
      </c>
      <c r="B59" s="7">
        <f t="shared" ref="B59:B70" si="10">sqrt(( 28.83 - A59)^2)</f>
        <v>0.83</v>
      </c>
      <c r="C59" s="8">
        <f t="shared" ref="C59:C70" si="11">sqrt((58.33 - $A59)^2)</f>
        <v>30.33</v>
      </c>
      <c r="D59" s="8">
        <f t="shared" ref="D59:D70" si="12">sqrt((15 - A59)^2)</f>
        <v>13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26.0</v>
      </c>
      <c r="B60" s="7">
        <f t="shared" si="10"/>
        <v>2.83</v>
      </c>
      <c r="C60" s="8">
        <f t="shared" si="11"/>
        <v>32.33</v>
      </c>
      <c r="D60" s="8">
        <f t="shared" si="12"/>
        <v>11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30.0</v>
      </c>
      <c r="B61" s="7">
        <f t="shared" si="10"/>
        <v>1.17</v>
      </c>
      <c r="C61" s="8">
        <f t="shared" si="11"/>
        <v>28.33</v>
      </c>
      <c r="D61" s="8">
        <f t="shared" si="12"/>
        <v>15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15.0</v>
      </c>
      <c r="B62" s="20">
        <f t="shared" si="10"/>
        <v>13.83</v>
      </c>
      <c r="C62" s="8">
        <f t="shared" si="11"/>
        <v>43.33</v>
      </c>
      <c r="D62" s="9">
        <f t="shared" si="12"/>
        <v>0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31.0</v>
      </c>
      <c r="B63" s="7">
        <f t="shared" si="10"/>
        <v>2.17</v>
      </c>
      <c r="C63" s="8">
        <f t="shared" si="11"/>
        <v>27.33</v>
      </c>
      <c r="D63" s="8">
        <f t="shared" si="12"/>
        <v>16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59.0</v>
      </c>
      <c r="B64" s="20">
        <f t="shared" si="10"/>
        <v>30.17</v>
      </c>
      <c r="C64" s="10">
        <f t="shared" si="11"/>
        <v>0.67</v>
      </c>
      <c r="D64" s="8">
        <f t="shared" si="12"/>
        <v>44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>
        <v>60.0</v>
      </c>
      <c r="B65" s="20">
        <f t="shared" si="10"/>
        <v>31.17</v>
      </c>
      <c r="C65" s="10">
        <f t="shared" si="11"/>
        <v>1.67</v>
      </c>
      <c r="D65" s="8">
        <f t="shared" si="12"/>
        <v>45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16.0</v>
      </c>
      <c r="B66" s="20">
        <f t="shared" si="10"/>
        <v>12.83</v>
      </c>
      <c r="C66" s="8">
        <f t="shared" si="11"/>
        <v>42.33</v>
      </c>
      <c r="D66" s="9">
        <f t="shared" si="12"/>
        <v>1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24.0</v>
      </c>
      <c r="B67" s="7">
        <f t="shared" si="10"/>
        <v>4.83</v>
      </c>
      <c r="C67" s="8">
        <f t="shared" si="11"/>
        <v>34.33</v>
      </c>
      <c r="D67" s="8">
        <f t="shared" si="12"/>
        <v>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56.0</v>
      </c>
      <c r="B68" s="20">
        <f t="shared" si="10"/>
        <v>27.17</v>
      </c>
      <c r="C68" s="10">
        <f t="shared" si="11"/>
        <v>2.33</v>
      </c>
      <c r="D68" s="8">
        <f t="shared" si="12"/>
        <v>41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14.0</v>
      </c>
      <c r="B69" s="20">
        <f t="shared" si="10"/>
        <v>14.83</v>
      </c>
      <c r="C69" s="8">
        <f t="shared" si="11"/>
        <v>44.33</v>
      </c>
      <c r="D69" s="9">
        <f t="shared" si="12"/>
        <v>1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34.0</v>
      </c>
      <c r="B70" s="7">
        <f t="shared" si="10"/>
        <v>5.17</v>
      </c>
      <c r="C70" s="8">
        <f t="shared" si="11"/>
        <v>24.33</v>
      </c>
      <c r="D70" s="8">
        <f t="shared" si="12"/>
        <v>19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12" t="s">
        <v>6</v>
      </c>
      <c r="C72" s="12" t="s">
        <v>22</v>
      </c>
      <c r="D72" s="13">
        <f>(28+26+30+31+24+34)/6</f>
        <v>28.83333333</v>
      </c>
      <c r="E72" s="5" t="s">
        <v>27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15" t="s">
        <v>9</v>
      </c>
      <c r="C73" s="15" t="s">
        <v>10</v>
      </c>
      <c r="D73" s="16">
        <f>(59+60+56)/3</f>
        <v>58.33333333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18" t="s">
        <v>11</v>
      </c>
      <c r="C74" s="18" t="s">
        <v>23</v>
      </c>
      <c r="D74" s="19">
        <f>(15+16+14)/3</f>
        <v>15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">
        <v>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">
        <v>29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">
        <v>30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2" t="s">
        <v>6</v>
      </c>
      <c r="B82" s="12" t="s">
        <v>22</v>
      </c>
      <c r="C82" s="13">
        <f>(28+26+30+31+24+34)/6</f>
        <v>28.83333333</v>
      </c>
      <c r="D82" s="5"/>
      <c r="E82" s="15" t="s">
        <v>9</v>
      </c>
      <c r="F82" s="15" t="s">
        <v>10</v>
      </c>
      <c r="G82" s="16">
        <f>(59+60+56)/3</f>
        <v>58.33333333</v>
      </c>
      <c r="H82" s="5"/>
      <c r="I82" s="18" t="s">
        <v>11</v>
      </c>
      <c r="J82" s="18" t="s">
        <v>23</v>
      </c>
      <c r="K82" s="19">
        <f>(15+16+14)/3</f>
        <v>15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">
        <v>31</v>
      </c>
      <c r="B83" s="5" t="s">
        <v>32</v>
      </c>
      <c r="C83" s="5"/>
      <c r="D83" s="5"/>
      <c r="E83" s="5" t="s">
        <v>31</v>
      </c>
      <c r="F83" s="5" t="s">
        <v>32</v>
      </c>
      <c r="G83" s="5"/>
      <c r="H83" s="5"/>
      <c r="I83" s="5" t="s">
        <v>31</v>
      </c>
      <c r="J83" s="5" t="s">
        <v>32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">
        <v>28.83</v>
      </c>
      <c r="B84" s="21">
        <v>28.0</v>
      </c>
      <c r="C84" s="21">
        <f t="shared" ref="C84:C89" si="13">($A$84-B84)^2</f>
        <v>0.6889</v>
      </c>
      <c r="D84" s="5"/>
      <c r="E84" s="21">
        <v>58.33</v>
      </c>
      <c r="F84" s="21">
        <v>59.0</v>
      </c>
      <c r="G84" s="21">
        <f t="shared" ref="G84:G86" si="14">($E$84-F84)^2</f>
        <v>0.4489</v>
      </c>
      <c r="H84" s="5"/>
      <c r="I84" s="21">
        <v>15.0</v>
      </c>
      <c r="J84" s="21">
        <v>15.0</v>
      </c>
      <c r="K84" s="21">
        <f t="shared" ref="K84:K86" si="15">($I$84-J84)^2</f>
        <v>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21">
        <v>26.0</v>
      </c>
      <c r="C85" s="21">
        <f t="shared" si="13"/>
        <v>8.0089</v>
      </c>
      <c r="D85" s="5"/>
      <c r="E85" s="5"/>
      <c r="F85" s="21">
        <v>60.0</v>
      </c>
      <c r="G85" s="21">
        <f t="shared" si="14"/>
        <v>2.7889</v>
      </c>
      <c r="H85" s="5"/>
      <c r="I85" s="5"/>
      <c r="J85" s="21">
        <v>16.0</v>
      </c>
      <c r="K85" s="21">
        <f t="shared" si="15"/>
        <v>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21">
        <v>30.0</v>
      </c>
      <c r="C86" s="21">
        <f t="shared" si="13"/>
        <v>1.3689</v>
      </c>
      <c r="D86" s="5"/>
      <c r="E86" s="5"/>
      <c r="F86" s="21">
        <v>56.0</v>
      </c>
      <c r="G86" s="21">
        <f t="shared" si="14"/>
        <v>5.4289</v>
      </c>
      <c r="H86" s="5"/>
      <c r="I86" s="5"/>
      <c r="J86" s="21">
        <v>14.0</v>
      </c>
      <c r="K86" s="21">
        <f t="shared" si="15"/>
        <v>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21">
        <v>31.0</v>
      </c>
      <c r="C87" s="21">
        <f t="shared" si="13"/>
        <v>4.7089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21">
        <v>24.0</v>
      </c>
      <c r="C88" s="21">
        <f t="shared" si="13"/>
        <v>23.3289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21">
        <v>34.0</v>
      </c>
      <c r="C89" s="21">
        <f t="shared" si="13"/>
        <v>26.7289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22" t="s">
        <v>33</v>
      </c>
      <c r="C90" s="23">
        <f>sum(C84:C89)</f>
        <v>64.8334</v>
      </c>
      <c r="D90" s="5"/>
      <c r="E90" s="5"/>
      <c r="F90" s="22" t="s">
        <v>34</v>
      </c>
      <c r="G90" s="23">
        <f>sum(G84:G86)</f>
        <v>8.6667</v>
      </c>
      <c r="H90" s="5"/>
      <c r="I90" s="5"/>
      <c r="J90" s="22" t="s">
        <v>35</v>
      </c>
      <c r="K90" s="23">
        <f>sum(K84:K86)</f>
        <v>2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24" t="s">
        <v>36</v>
      </c>
      <c r="C93" s="25">
        <f>C90+G90+K90</f>
        <v>75.5001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 t="s">
        <v>37</v>
      </c>
      <c r="B96" s="22" t="s">
        <v>38</v>
      </c>
      <c r="C96" s="22" t="s">
        <v>39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">
        <v>40</v>
      </c>
      <c r="B98" s="5" t="s">
        <v>32</v>
      </c>
      <c r="C98" s="22" t="s">
        <v>41</v>
      </c>
      <c r="D98" s="22" t="s">
        <v>42</v>
      </c>
      <c r="E98" s="22" t="s">
        <v>43</v>
      </c>
      <c r="F98" s="5"/>
      <c r="G98" s="26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7" t="s">
        <v>6</v>
      </c>
      <c r="B99" s="28">
        <v>28.0</v>
      </c>
      <c r="C99" s="21">
        <f>(sqrt((B99-B100)^2) + sqrt((B99 - B101)^2) + sqrt((B99-B102)^2) +sqrt((B99 - B103)^2) + sqrt((B99 - B104)^2))/5</f>
        <v>3.4</v>
      </c>
      <c r="D99" s="21">
        <f>(sqrt((B99-B108)^2) + sqrt((B99-B109)^2) + sqrt((B99-B110)^2))/3</f>
        <v>13</v>
      </c>
      <c r="E99" s="21">
        <f t="shared" ref="E99:E110" si="16">(D99-C99)/max(D99,C99)</f>
        <v>0.7384615385</v>
      </c>
      <c r="F99" s="5" t="s">
        <v>44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7" t="s">
        <v>6</v>
      </c>
      <c r="B100" s="28">
        <v>26.0</v>
      </c>
      <c r="C100" s="21">
        <f>(sqrt((B100-B101)^2) + sqrt((B100 - B102)^2) + sqrt((B100-B103)^2) +sqrt((B100 - B104)^2) + sqrt((B100 - B99)^2))/5</f>
        <v>4.2</v>
      </c>
      <c r="D100" s="21">
        <f>(sqrt((B100-B109)^2) + sqrt((B100-B110)^2) + sqrt((B100-B108)^2))/3</f>
        <v>11</v>
      </c>
      <c r="E100" s="21">
        <f t="shared" si="16"/>
        <v>0.6181818182</v>
      </c>
      <c r="F100" s="5"/>
      <c r="G100" s="5" t="s">
        <v>45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7" t="s">
        <v>6</v>
      </c>
      <c r="B101" s="28">
        <v>30.0</v>
      </c>
      <c r="C101" s="21">
        <f>(sqrt((B101-B102)^2) + sqrt((B101 - B103)^2) + sqrt((B101-B104)^2) +sqrt((B101 - B99)^2) + sqrt((B101 - B100)^2))/5</f>
        <v>3.4</v>
      </c>
      <c r="D101" s="21">
        <f>(sqrt((B101-B110)^2) + sqrt((B101-B108)^2) + sqrt((B101-B109)^2))/3</f>
        <v>15</v>
      </c>
      <c r="E101" s="21">
        <f t="shared" si="16"/>
        <v>0.7733333333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7" t="s">
        <v>6</v>
      </c>
      <c r="B102" s="28">
        <v>31.0</v>
      </c>
      <c r="C102" s="21">
        <f>(sqrt((B102-B103)^2) + sqrt((B102 - B104)^2) + sqrt((B102-B99)^2) +sqrt((B102 - B100)^2) + sqrt((B102 - B101)^2))/5</f>
        <v>3.8</v>
      </c>
      <c r="D102" s="21">
        <f>(sqrt((B102-B108)^2) + sqrt((B102-B109)^2) + sqrt((B102-B110)^2))/3</f>
        <v>16</v>
      </c>
      <c r="E102" s="21">
        <f t="shared" si="16"/>
        <v>0.7625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7" t="s">
        <v>6</v>
      </c>
      <c r="B103" s="28">
        <v>24.0</v>
      </c>
      <c r="C103" s="21">
        <f>(sqrt((B103-B104)^2) + sqrt((B103 - B99)^2) + sqrt((B103-B100)^2) +sqrt((B103 - B101)^2) + sqrt((B103 - B102)^2))/5</f>
        <v>5.8</v>
      </c>
      <c r="D103" s="21">
        <f>(sqrt((B103-B108)^2) + sqrt((B103-B109)^2) + sqrt((B103-B110)^2))/3</f>
        <v>9</v>
      </c>
      <c r="E103" s="21">
        <f t="shared" si="16"/>
        <v>0.3555555556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7" t="s">
        <v>6</v>
      </c>
      <c r="B104" s="28">
        <v>34.0</v>
      </c>
      <c r="C104" s="21">
        <f>(sqrt((B104-B99)^2) + sqrt((B104 - B100)^2) + sqrt((B104-B101)^2) +sqrt((B104 - B102)^2) + sqrt((B104 - B103)^2))/5</f>
        <v>6.2</v>
      </c>
      <c r="D104" s="21">
        <f>(sqrt((B104-B109)^2) + sqrt((B104-B110)^2) + sqrt((B104-B108)^2))/3</f>
        <v>19</v>
      </c>
      <c r="E104" s="21">
        <f t="shared" si="16"/>
        <v>0.6736842105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5" t="s">
        <v>9</v>
      </c>
      <c r="B105" s="16">
        <v>59.0</v>
      </c>
      <c r="C105" s="21">
        <f>(sqrt((B105-B106)^2) + sqrt((B105-B107)^2)) /2 </f>
        <v>2</v>
      </c>
      <c r="D105" s="21">
        <f t="shared" ref="D105:D107" si="17">((sqrt(B105-$B$99)^2) + (sqrt(B105-$B$100)^2) + (sqrt(B105-$B$101)^2) + (sqrt(B105-$B$102)^2) + (sqrt(B105-$B$103)^2) + (sqrt(B105-$B$104)^2))/6</f>
        <v>30.16666667</v>
      </c>
      <c r="E105" s="21">
        <f t="shared" si="16"/>
        <v>0.9337016575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5" t="s">
        <v>9</v>
      </c>
      <c r="B106" s="16">
        <v>60.0</v>
      </c>
      <c r="C106" s="21">
        <f>(sqrt((B106-B107)^2) + sqrt((B106-B105)^2)) /2 </f>
        <v>2.5</v>
      </c>
      <c r="D106" s="21">
        <f t="shared" si="17"/>
        <v>31.16666667</v>
      </c>
      <c r="E106" s="21">
        <f t="shared" si="16"/>
        <v>0.9197860963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5" t="s">
        <v>9</v>
      </c>
      <c r="B107" s="16">
        <v>56.0</v>
      </c>
      <c r="C107" s="21">
        <f>(sqrt((B107-B105)^2) + sqrt((B107-B106)^2)) /2 </f>
        <v>3.5</v>
      </c>
      <c r="D107" s="21">
        <f t="shared" si="17"/>
        <v>27.16666667</v>
      </c>
      <c r="E107" s="21">
        <f t="shared" si="16"/>
        <v>0.8711656442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9" t="s">
        <v>11</v>
      </c>
      <c r="B108" s="30">
        <v>15.0</v>
      </c>
      <c r="C108" s="21">
        <f>(sqrt((B108-B109)^2) + sqrt((B108-$B$110)^2)) /2 </f>
        <v>1</v>
      </c>
      <c r="D108" s="21">
        <f t="shared" ref="D108:D110" si="18">( sqrt((B108-$B$99)^2) + sqrt((B108-$B$100)^2) + sqrt((B108-$B$101)^2) + sqrt((B108-$B$102)^2) + sqrt((B108-$B$103)^2) + sqrt((B108 - $B$104)^2)) /6</f>
        <v>13.83333333</v>
      </c>
      <c r="E108" s="21">
        <f t="shared" si="16"/>
        <v>0.9277108434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9" t="s">
        <v>11</v>
      </c>
      <c r="B109" s="30">
        <v>16.0</v>
      </c>
      <c r="C109" s="21">
        <f>(sqrt((B109-B110)^2) + sqrt((B109-B108)^2)) /2 </f>
        <v>1.5</v>
      </c>
      <c r="D109" s="21">
        <f t="shared" si="18"/>
        <v>12.83333333</v>
      </c>
      <c r="E109" s="21">
        <f t="shared" si="16"/>
        <v>0.8831168831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9" t="s">
        <v>11</v>
      </c>
      <c r="B110" s="30">
        <v>14.0</v>
      </c>
      <c r="C110" s="21">
        <f>(sqrt((B110-B109)^2) + sqrt((B110-B108)^2)) /2 </f>
        <v>1.5</v>
      </c>
      <c r="D110" s="21">
        <f t="shared" si="18"/>
        <v>14.83333333</v>
      </c>
      <c r="E110" s="21">
        <f t="shared" si="16"/>
        <v>0.8988764045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 t="s">
        <v>46</v>
      </c>
      <c r="E112" s="21">
        <f> round( sum(E99:E110)/12, 2)</f>
        <v>0.78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 t="s">
        <v>47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 t="s">
        <v>48</v>
      </c>
      <c r="F115" s="5" t="s">
        <v>49</v>
      </c>
      <c r="G115" s="5" t="s">
        <v>43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21">
        <v>1000000.0</v>
      </c>
      <c r="F116" s="21">
        <v>1.0E-5</v>
      </c>
      <c r="G116" s="21">
        <f t="shared" ref="G116:G117" si="19">(E116-F116) / max(E116,F116)</f>
        <v>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40</v>
      </c>
      <c r="B117" s="5" t="s">
        <v>32</v>
      </c>
      <c r="C117" s="5" t="s">
        <v>43</v>
      </c>
      <c r="D117" s="5"/>
      <c r="E117" s="21">
        <v>0.0</v>
      </c>
      <c r="F117" s="21">
        <v>1000000.0</v>
      </c>
      <c r="G117" s="21">
        <f t="shared" si="19"/>
        <v>-1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7" t="s">
        <v>6</v>
      </c>
      <c r="B118" s="28">
        <v>28.0</v>
      </c>
      <c r="C118" s="21">
        <v>0.7384615384615384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7" t="s">
        <v>6</v>
      </c>
      <c r="B119" s="28">
        <v>26.0</v>
      </c>
      <c r="C119" s="21">
        <v>0.6181818181818182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7" t="s">
        <v>6</v>
      </c>
      <c r="B120" s="28">
        <v>30.0</v>
      </c>
      <c r="C120" s="21">
        <v>0.7733333333333333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7" t="s">
        <v>6</v>
      </c>
      <c r="B121" s="28">
        <v>31.0</v>
      </c>
      <c r="C121" s="21">
        <v>0.7625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7" t="s">
        <v>6</v>
      </c>
      <c r="B122" s="28">
        <v>24.0</v>
      </c>
      <c r="C122" s="21">
        <v>0.35555555555555557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7" t="s">
        <v>6</v>
      </c>
      <c r="B123" s="28">
        <v>34.0</v>
      </c>
      <c r="C123" s="21">
        <v>0.6736842105263158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5" t="s">
        <v>9</v>
      </c>
      <c r="B124" s="16">
        <v>59.0</v>
      </c>
      <c r="C124" s="21">
        <v>0.9337016574585635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5" t="s">
        <v>9</v>
      </c>
      <c r="B125" s="16">
        <v>60.0</v>
      </c>
      <c r="C125" s="21">
        <v>0.9197860962566845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5" t="s">
        <v>9</v>
      </c>
      <c r="B126" s="16">
        <v>56.0</v>
      </c>
      <c r="C126" s="21">
        <v>0.8711656441717791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9" t="s">
        <v>11</v>
      </c>
      <c r="B127" s="30">
        <v>15.0</v>
      </c>
      <c r="C127" s="21">
        <v>0.927710843373494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9" t="s">
        <v>11</v>
      </c>
      <c r="B128" s="30">
        <v>16.0</v>
      </c>
      <c r="C128" s="21">
        <v>0.8831168831168831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9" t="s">
        <v>11</v>
      </c>
      <c r="B129" s="30">
        <v>14.0</v>
      </c>
      <c r="C129" s="21">
        <v>0.898876404494382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